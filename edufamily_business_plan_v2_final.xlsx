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ssumptions" sheetId="2" state="visible" r:id="rId4"/>
    <sheet name="P&amp;L 5 ans" sheetId="3" state="visible" r:id="rId5"/>
    <sheet name="Use of Funds" sheetId="4" state="visible" r:id="rId6"/>
    <sheet name="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<sst xmlns="http://schemas.openxmlformats.org/spreadsheetml/2006/main" count="196" uniqueCount="184">
  <si>
    <t xml:space="preserve">🦊 EduFamily - Business Plan V2 (Réaliste)</t>
  </si>
  <si>
    <t xml:space="preserve">📊 Résumé des Métriques Clés</t>
  </si>
  <si>
    <t xml:space="preserve">Métrique</t>
  </si>
  <si>
    <t xml:space="preserve">V1 (Avant)</t>
  </si>
  <si>
    <t xml:space="preserve">V2 (Après)</t>
  </si>
  <si>
    <t xml:space="preserve">Commentaire</t>
  </si>
  <si>
    <t xml:space="preserve">Prix Famille</t>
  </si>
  <si>
    <t xml:space="preserve">4,99€</t>
  </si>
  <si>
    <t xml:space="preserve">5,99€</t>
  </si>
  <si>
    <t xml:space="preserve">+20%</t>
  </si>
  <si>
    <t xml:space="preserve">Prix Premium</t>
  </si>
  <si>
    <t xml:space="preserve">9,99€</t>
  </si>
  <si>
    <t xml:space="preserve">11,99€</t>
  </si>
  <si>
    <t xml:space="preserve">ARPU blended</t>
  </si>
  <si>
    <t xml:space="preserve">3,00€</t>
  </si>
  <si>
    <t xml:space="preserve">4,50€</t>
  </si>
  <si>
    <t xml:space="preserve">+50%</t>
  </si>
  <si>
    <t xml:space="preserve">Coûts variables</t>
  </si>
  <si>
    <t xml:space="preserve">2,20€</t>
  </si>
  <si>
    <t xml:space="preserve">2,85€</t>
  </si>
  <si>
    <t xml:space="preserve">+30% (réaliste)</t>
  </si>
  <si>
    <t xml:space="preserve">Marge brute</t>
  </si>
  <si>
    <t xml:space="preserve">27%</t>
  </si>
  <si>
    <t xml:space="preserve">37%</t>
  </si>
  <si>
    <t xml:space="preserve">+10pts</t>
  </si>
  <si>
    <t xml:space="preserve">LTV</t>
  </si>
  <si>
    <t xml:space="preserve">67€</t>
  </si>
  <si>
    <t xml:space="preserve">73€</t>
  </si>
  <si>
    <t xml:space="preserve">+9%</t>
  </si>
  <si>
    <t xml:space="preserve">CAC</t>
  </si>
  <si>
    <t xml:space="preserve">15€</t>
  </si>
  <si>
    <t xml:space="preserve">=</t>
  </si>
  <si>
    <t xml:space="preserve">LTV/CAC</t>
  </si>
  <si>
    <t xml:space="preserve">4,5x</t>
  </si>
  <si>
    <t xml:space="preserve">4,9x</t>
  </si>
  <si>
    <t xml:space="preserve">Toujours &gt;3x ✓</t>
  </si>
  <si>
    <t xml:space="preserve">💰 Funding Ask: 500K€ Seed (20% dilution)</t>
  </si>
  <si>
    <t xml:space="preserve">🎯 Objectif Y5: 50,000 familles, 2,7M€ ARR, EBITDA positif</t>
  </si>
  <si>
    <t xml:space="preserve">📋 Hypothèses V2 - Coûts Réalistes</t>
  </si>
  <si>
    <t xml:space="preserve">💰 PRICING AJUSTÉ</t>
  </si>
  <si>
    <t xml:space="preserve">Offre</t>
  </si>
  <si>
    <t xml:space="preserve">Prix</t>
  </si>
  <si>
    <t xml:space="preserve">Mix</t>
  </si>
  <si>
    <t xml:space="preserve">Limite</t>
  </si>
  <si>
    <t xml:space="preserve">Gratuit</t>
  </si>
  <si>
    <t xml:space="preserve">30 interactions/mois</t>
  </si>
  <si>
    <t xml:space="preserve">Famille</t>
  </si>
  <si>
    <t xml:space="preserve">300 interactions/mois</t>
  </si>
  <si>
    <t xml:space="preserve">Premium</t>
  </si>
  <si>
    <t xml:space="preserve">Illimité</t>
  </si>
  <si>
    <t xml:space="preserve">ARPU Blended</t>
  </si>
  <si>
    <t xml:space="preserve">€/mois</t>
  </si>
  <si>
    <t xml:space="preserve">💸 COÛTS VARIABLES DÉTAILLÉS (/user/mois)</t>
  </si>
  <si>
    <t xml:space="preserve">Composant</t>
  </si>
  <si>
    <t xml:space="preserve">Coût</t>
  </si>
  <si>
    <t xml:space="preserve">Détail</t>
  </si>
  <si>
    <t xml:space="preserve">API Claude (Haiku 60% / Sonnet 40%)</t>
  </si>
  <si>
    <t xml:space="preserve">Optimisé vs 2,50€ full Sonnet</t>
  </si>
  <si>
    <t xml:space="preserve">Vector DB (Pinecone)</t>
  </si>
  <si>
    <t xml:space="preserve">Embeddings famille</t>
  </si>
  <si>
    <t xml:space="preserve">PostgreSQL (RDS)</t>
  </si>
  <si>
    <t xml:space="preserve">Profils, historique</t>
  </si>
  <si>
    <t xml:space="preserve">Stockage S3</t>
  </si>
  <si>
    <t xml:space="preserve">Photos devoirs, exports</t>
  </si>
  <si>
    <t xml:space="preserve">Redis (cache)</t>
  </si>
  <si>
    <t xml:space="preserve">Sessions, perf</t>
  </si>
  <si>
    <t xml:space="preserve">Compute (ECS/Lambda)</t>
  </si>
  <si>
    <t xml:space="preserve">API, workers agents</t>
  </si>
  <si>
    <t xml:space="preserve">CDN CloudFront</t>
  </si>
  <si>
    <t xml:space="preserve">Assets, distribution</t>
  </si>
  <si>
    <t xml:space="preserve">Monitoring (DataDog)</t>
  </si>
  <si>
    <t xml:space="preserve">Logs, alertes</t>
  </si>
  <si>
    <t xml:space="preserve">Sécurité RGPD</t>
  </si>
  <si>
    <t xml:space="preserve">Compliance enfants</t>
  </si>
  <si>
    <t xml:space="preserve">TOTAL COÛTS VARIABLES</t>
  </si>
  <si>
    <t xml:space="preserve">€/user/mois</t>
  </si>
  <si>
    <t xml:space="preserve">📊 UNIT ECONOMICS</t>
  </si>
  <si>
    <t xml:space="preserve">Marge brute unitaire</t>
  </si>
  <si>
    <t xml:space="preserve">Marge brute %</t>
  </si>
  <si>
    <t xml:space="preserve">Durée vie client</t>
  </si>
  <si>
    <t xml:space="preserve">mois</t>
  </si>
  <si>
    <t xml:space="preserve">€</t>
  </si>
  <si>
    <t xml:space="preserve">x</t>
  </si>
  <si>
    <t xml:space="preserve">✓ &gt;3x = Excellent</t>
  </si>
  <si>
    <t xml:space="preserve">📊 Compte de Résultat Prévisionnel (5 ans)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</si>
  <si>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</si>
  <si>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</si>
  <si>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</si>
  <si>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</si>
  <si>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</si>
  <si>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👥 UTILISATEURS</t>
  </si>
  <si>
    <t xml:space="preserve">Nouvelles familles</t>
  </si>
  <si>
    <t xml:space="preserve">Familles cumulées</t>
  </si>
  <si>
    <t xml:space="preserve">Churn annuel</t>
  </si>
  <si>
    <t xml:space="preserve">10%</t>
  </si>
  <si>
    <t xml:space="preserve">9%</t>
  </si>
  <si>
    <t xml:space="preserve">8%</t>
  </si>
  <si>
    <t xml:space="preserve">7%</t>
  </si>
  <si>
    <t xml:space="preserve">6%</t>
  </si>
  <si>
    <t xml:space="preserve">Familles actives fin</t>
  </si>
  <si>
    <t xml:space="preserve">Familles payantes (70%)</t>
  </si>
  <si>
    <t xml:space="preserve">💰 REVENUS</t>
  </si>
  <si>
    <t xml:space="preserve">ARPU mensuel</t>
  </si>
  <si>
    <t xml:space="preserve">MRR fin d'année</t>
  </si>
  <si>
    <t xml:space="preserve">ARR</t>
  </si>
  <si>
    <t xml:space="preserve">📉 COÛTS VARIABLES</t>
  </si>
  <si>
    <t xml:space="preserve">Coût/user/mois</t>
  </si>
  <si>
    <t xml:space="preserve">Total coûts variables</t>
  </si>
  <si>
    <t xml:space="preserve">📉 COÛTS FIXES</t>
  </si>
  <si>
    <t xml:space="preserve">Salaires</t>
  </si>
  <si>
    <t xml:space="preserve">Marketing</t>
  </si>
  <si>
    <t xml:space="preserve">Infra fixe</t>
  </si>
  <si>
    <t xml:space="preserve">Autres (legal, tools)</t>
  </si>
  <si>
    <t xml:space="preserve">Total coûts fixes</t>
  </si>
  <si>
    <t xml:space="preserve">📊 RÉSULTAT</t>
  </si>
  <si>
    <t xml:space="preserve">EBITDA</t>
  </si>
  <si>
    <t xml:space="preserve">Marge EBITDA</t>
  </si>
  <si>
    <t xml:space="preserve">💵 TRÉSORERIE</t>
  </si>
  <si>
    <t xml:space="preserve">Cash début</t>
  </si>
  <si>
    <t xml:space="preserve">Cash fin</t>
  </si>
  <si>
    <t xml:space="preserve">💰 Utilisation des 500K€</t>
  </si>
  <si>
    <t xml:space="preserve">Catégorie</t>
  </si>
  <si>
    <t xml:space="preserve">Montant</t>
  </si>
  <si>
    <t xml:space="preserve">%</t>
  </si>
  <si>
    <t xml:space="preserve">Tech &amp; Produit</t>
  </si>
  <si>
    <t xml:space="preserve">CTO 70K + Dev 55K + Infra 25K + Outils</t>
  </si>
  <si>
    <t xml:space="preserve">Acquisition + Contenu + PR + Influence</t>
  </si>
  <si>
    <t xml:space="preserve">Ops &amp; Admin</t>
  </si>
  <si>
    <t xml:space="preserve">Legal, compta, assurance, outils SaaS</t>
  </si>
  <si>
    <t xml:space="preserve">Buffer</t>
  </si>
  <si>
    <t xml:space="preserve">Imprévus, opportunités, pivot</t>
  </si>
  <si>
    <t xml:space="preserve">TOTAL</t>
  </si>
  <si>
    <t xml:space="preserve">18 mois de runway</t>
  </si>
  <si>
    <t xml:space="preserve">🎯 Milestones Clés</t>
  </si>
  <si>
    <t xml:space="preserve">Timeline</t>
  </si>
  <si>
    <t xml:space="preserve">Milestone</t>
  </si>
  <si>
    <t xml:space="preserve">KPI</t>
  </si>
  <si>
    <t xml:space="preserve">Q1 2025</t>
  </si>
  <si>
    <t xml:space="preserve">Beta privée</t>
  </si>
  <si>
    <t xml:space="preserve">50 familles testeurs</t>
  </si>
  <si>
    <t xml:space="preserve">Q2 2025</t>
  </si>
  <si>
    <t xml:space="preserve">Lancement public</t>
  </si>
  <si>
    <t xml:space="preserve">iOS + Android + Web</t>
  </si>
  <si>
    <t xml:space="preserve">Q3 2025</t>
  </si>
  <si>
    <t xml:space="preserve">Product-Market Fit</t>
  </si>
  <si>
    <t xml:space="preserve">40% rétention M3</t>
  </si>
  <si>
    <t xml:space="preserve">Q4 2025</t>
  </si>
  <si>
    <t xml:space="preserve">Scale</t>
  </si>
  <si>
    <t xml:space="preserve">10,000 familles</t>
  </si>
  <si>
    <t xml:space="preserve">M18</t>
  </si>
  <si>
    <t xml:space="preserve">Break-even</t>
  </si>
  <si>
    <t xml:space="preserve">EBITDA mensuel &gt; 0</t>
  </si>
  <si>
    <t xml:space="preserve">💎 Valorisation &amp; ROI</t>
  </si>
  <si>
    <t xml:space="preserve">🌱 Seed Round</t>
  </si>
  <si>
    <t xml:space="preserve">Montant levé</t>
  </si>
  <si>
    <t xml:space="preserve">Pre-money</t>
  </si>
  <si>
    <t xml:space="preserve">Post-money</t>
  </si>
  <si>
    <t xml:space="preserve">Dilution</t>
  </si>
  <si>
    <t xml:space="preserve">20%</t>
  </si>
  <si>
    <t xml:space="preserve">📊 Comparables EdTech</t>
  </si>
  <si>
    <t xml:space="preserve">Société</t>
  </si>
  <si>
    <t xml:space="preserve">Multiple ARR</t>
  </si>
  <si>
    <t xml:space="preserve">Duolingo</t>
  </si>
  <si>
    <t xml:space="preserve">26x</t>
  </si>
  <si>
    <t xml:space="preserve">Quizlet</t>
  </si>
  <si>
    <t xml:space="preserve">10x</t>
  </si>
  <si>
    <t xml:space="preserve">Photomath</t>
  </si>
  <si>
    <t xml:space="preserve">6x</t>
  </si>
  <si>
    <t xml:space="preserve">Kartable</t>
  </si>
  <si>
    <t xml:space="preserve">4x</t>
  </si>
  <si>
    <t xml:space="preserve">Médiane</t>
  </si>
  <si>
    <t xml:space="preserve">8x</t>
  </si>
  <si>
    <t xml:space="preserve">🚀 Projection Exit (Y5-Y7)</t>
  </si>
  <si>
    <t xml:space="preserve">ARR Y5</t>
  </si>
  <si>
    <t xml:space="preserve">Multiple exit</t>
  </si>
  <si>
    <t xml:space="preserve">8-10x</t>
  </si>
  <si>
    <t xml:space="preserve">Valorisation exit</t>
  </si>
  <si>
    <t xml:space="preserve">30-37M€</t>
  </si>
  <si>
    <t xml:space="preserve">💰 ROI Investisseurs Seed (20%)</t>
  </si>
  <si>
    <t xml:space="preserve">Investissement</t>
  </si>
  <si>
    <t xml:space="preserve">Valeur à l'exit</t>
  </si>
  <si>
    <t xml:space="preserve">6-7,4M€</t>
  </si>
  <si>
    <t xml:space="preserve">Multiple</t>
  </si>
  <si>
    <t xml:space="preserve">12-15x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</si>
</sst>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.0%"/>
    <numFmt numFmtId="168" formatCode="0"/>
    <numFmt numFmtId="169" formatCode="0.0"/>
    <numFmt numFmtId="170" formatCode="#,##0"/>
    <numFmt numFmtId="171" formatCode="#,##0&quot; €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6C5CE7"/>
      <name val="Cambria"/>
      <family val="0"/>
      <charset val="1"/>
    </font>
    <font>
      <b val="true"/>
      <sz val="12"/>
      <color rgb="FF2D343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27AE60"/>
      <name val="Cambria"/>
      <family val="0"/>
      <charset val="1"/>
    </font>
    <font>
      <b val="true"/>
      <sz val="12"/>
      <color rgb="FF6C5CE7"/>
      <name val="Cambria"/>
      <family val="0"/>
      <charset val="1"/>
    </font>
    <font>
      <sz val="11"/>
      <color rgb="FF636E72"/>
      <name val="Cambria"/>
      <family val="0"/>
      <charset val="1"/>
    </font>
    <font>
      <b val="true"/>
      <sz val="14"/>
      <color rgb="FF6C5CE7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0"/>
      <color rgb="FF636E72"/>
      <name val="Cambria"/>
      <family val="0"/>
      <charset val="1"/>
    </font>
    <font>
      <b val="true"/>
      <sz val="11"/>
      <color rgb="FFE74C3C"/>
      <name val="Cambria"/>
      <family val="0"/>
      <charset val="1"/>
    </font>
    <font>
      <b val="true"/>
      <sz val="14"/>
      <color rgb="FF27AE6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C5CE7"/>
        <bgColor rgb="FF636E72"/>
      </patternFill>
    </fill>
    <fill>
      <patternFill patternType="solid">
        <fgColor rgb="FFE8F5E9"/>
        <bgColor rgb="FFFFF3E0"/>
      </patternFill>
    </fill>
    <fill>
      <patternFill patternType="solid">
        <fgColor rgb="FFFFFF00"/>
        <bgColor rgb="FFFFFF00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6C5CE7"/>
      <rgbColor rgb="FF33CCCC"/>
      <rgbColor rgb="FF99CC00"/>
      <rgbColor rgb="FFFFCC00"/>
      <rgbColor rgb="FFFF9900"/>
      <rgbColor rgb="FFE74C3C"/>
      <rgbColor rgb="FF636E72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5"/>
    <col collapsed="false" customWidth="true" hidden="false" outlineLevel="0" max="5" min="5" style="0" width="25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 t="s">
        <v>3</v>
      </c>
      <c r="D6" s="3" t="s">
        <v>4</v>
      </c>
      <c r="E6" s="3" t="s">
        <v>5</v>
      </c>
    </row>
    <row r="7" customFormat="false" ht="15" hidden="false" customHeight="false" outlineLevel="0" collapsed="false">
      <c r="B7" s="0" t="s">
        <v>6</v>
      </c>
      <c r="C7" s="0" t="s">
        <v>7</v>
      </c>
      <c r="D7" s="4" t="s">
        <v>8</v>
      </c>
      <c r="E7" s="5" t="s">
        <v>9</v>
      </c>
    </row>
    <row r="8" customFormat="false" ht="15" hidden="false" customHeight="false" outlineLevel="0" collapsed="false">
      <c r="B8" s="0" t="s">
        <v>10</v>
      </c>
      <c r="C8" s="0" t="s">
        <v>11</v>
      </c>
      <c r="D8" s="4" t="s">
        <v>12</v>
      </c>
      <c r="E8" s="5" t="s">
        <v>9</v>
      </c>
    </row>
    <row r="9" customFormat="false" ht="15" hidden="false" customHeight="false" outlineLevel="0" collapsed="false">
      <c r="B9" s="0" t="s">
        <v>13</v>
      </c>
      <c r="C9" s="0" t="s">
        <v>14</v>
      </c>
      <c r="D9" s="4" t="s">
        <v>15</v>
      </c>
      <c r="E9" s="5" t="s">
        <v>16</v>
      </c>
    </row>
    <row r="10" customFormat="false" ht="15" hidden="false" customHeight="false" outlineLevel="0" collapsed="false">
      <c r="B10" s="0" t="s">
        <v>17</v>
      </c>
      <c r="C10" s="0" t="s">
        <v>18</v>
      </c>
      <c r="D10" s="4" t="s">
        <v>19</v>
      </c>
      <c r="E10" s="5" t="s">
        <v>20</v>
      </c>
    </row>
    <row r="11" customFormat="false" ht="15" hidden="false" customHeight="false" outlineLevel="0" collapsed="false">
      <c r="B11" s="0" t="s">
        <v>21</v>
      </c>
      <c r="C11" s="0" t="s">
        <v>22</v>
      </c>
      <c r="D11" s="4" t="s">
        <v>23</v>
      </c>
      <c r="E11" s="5" t="s">
        <v>24</v>
      </c>
    </row>
    <row r="12" customFormat="false" ht="15" hidden="false" customHeight="false" outlineLevel="0" collapsed="false">
      <c r="B12" s="0" t="s">
        <v>25</v>
      </c>
      <c r="C12" s="0" t="s">
        <v>26</v>
      </c>
      <c r="D12" s="4" t="s">
        <v>27</v>
      </c>
      <c r="E12" s="5" t="s">
        <v>28</v>
      </c>
    </row>
    <row r="13" customFormat="false" ht="15" hidden="false" customHeight="false" outlineLevel="0" collapsed="false">
      <c r="B13" s="0" t="s">
        <v>29</v>
      </c>
      <c r="C13" s="0" t="s">
        <v>30</v>
      </c>
      <c r="D13" s="4" t="s">
        <v>30</v>
      </c>
      <c r="E13" s="5" t="s">
        <v>31</v>
      </c>
    </row>
    <row r="14" customFormat="false" ht="15" hidden="false" customHeight="false" outlineLevel="0" collapsed="false">
      <c r="B14" s="0" t="s">
        <v>32</v>
      </c>
      <c r="C14" s="0" t="s">
        <v>33</v>
      </c>
      <c r="D14" s="4" t="s">
        <v>34</v>
      </c>
      <c r="E14" s="5" t="s">
        <v>35</v>
      </c>
    </row>
    <row r="17" customFormat="false" ht="15" hidden="false" customHeight="false" outlineLevel="0" collapsed="false">
      <c r="B17" s="6" t="s">
        <v>36</v>
      </c>
    </row>
    <row r="18" customFormat="false" ht="15" hidden="false" customHeight="false" outlineLevel="0" collapsed="false">
      <c r="B18" s="7" t="s">
        <v>37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4" min="3" style="0" width="12"/>
    <col collapsed="false" customWidth="true" hidden="false" outlineLevel="0" max="5" min="5" style="0" width="28"/>
  </cols>
  <sheetData>
    <row r="2" customFormat="false" ht="17.35" hidden="false" customHeight="false" outlineLevel="0" collapsed="false">
      <c r="B2" s="8" t="s">
        <v>38</v>
      </c>
    </row>
    <row r="4" customFormat="false" ht="15" hidden="false" customHeight="false" outlineLevel="0" collapsed="false">
      <c r="B4" s="2" t="s">
        <v>39</v>
      </c>
    </row>
    <row r="6" customFormat="false" ht="15" hidden="false" customHeight="false" outlineLevel="0" collapsed="false">
      <c r="B6" s="3" t="s">
        <v>40</v>
      </c>
      <c r="C6" s="3" t="s">
        <v>41</v>
      </c>
      <c r="D6" s="3" t="s">
        <v>42</v>
      </c>
      <c r="E6" s="3" t="s">
        <v>43</v>
      </c>
    </row>
    <row r="7" customFormat="false" ht="15" hidden="false" customHeight="false" outlineLevel="0" collapsed="false">
      <c r="B7" s="0" t="s">
        <v>44</v>
      </c>
      <c r="C7" s="9" t="n">
        <v>0</v>
      </c>
      <c r="D7" s="10" t="n">
        <v>0.3</v>
      </c>
      <c r="E7" s="5" t="s">
        <v>45</v>
      </c>
    </row>
    <row r="8" customFormat="false" ht="15" hidden="false" customHeight="false" outlineLevel="0" collapsed="false">
      <c r="B8" s="0" t="s">
        <v>46</v>
      </c>
      <c r="C8" s="9" t="n">
        <v>5.99</v>
      </c>
      <c r="D8" s="10" t="n">
        <v>0.55</v>
      </c>
      <c r="E8" s="5" t="s">
        <v>47</v>
      </c>
    </row>
    <row r="9" customFormat="false" ht="15" hidden="false" customHeight="false" outlineLevel="0" collapsed="false">
      <c r="B9" s="0" t="s">
        <v>48</v>
      </c>
      <c r="C9" s="9" t="n">
        <v>11.99</v>
      </c>
      <c r="D9" s="10" t="n">
        <v>0.15</v>
      </c>
      <c r="E9" s="5" t="s">
        <v>49</v>
      </c>
    </row>
    <row r="11" customFormat="false" ht="15" hidden="false" customHeight="false" outlineLevel="0" collapsed="false">
      <c r="B11" s="11" t="s">
        <v>50</v>
      </c>
      <c r="C11" s="12" t="n">
        <f aca="false">(C7*D7)+(C8*D8)+(C9*D9)</f>
        <v>5.093</v>
      </c>
      <c r="D11" s="5" t="s">
        <v>51</v>
      </c>
      <c r="E11" s="13" t="s">
        <v>15</v>
      </c>
    </row>
    <row r="14" customFormat="false" ht="15" hidden="false" customHeight="false" outlineLevel="0" collapsed="false">
      <c r="B14" s="2" t="s">
        <v>52</v>
      </c>
    </row>
    <row r="16" customFormat="false" ht="15" hidden="false" customHeight="false" outlineLevel="0" collapsed="false">
      <c r="B16" s="3" t="s">
        <v>53</v>
      </c>
      <c r="C16" s="3" t="s">
        <v>54</v>
      </c>
      <c r="D16" s="3" t="s">
        <v>55</v>
      </c>
    </row>
    <row r="17" customFormat="false" ht="15" hidden="false" customHeight="false" outlineLevel="0" collapsed="false">
      <c r="B17" s="0" t="s">
        <v>56</v>
      </c>
      <c r="C17" s="9" t="n">
        <v>1.8</v>
      </c>
      <c r="D17" s="14" t="s">
        <v>57</v>
      </c>
    </row>
    <row r="18" customFormat="false" ht="15" hidden="false" customHeight="false" outlineLevel="0" collapsed="false">
      <c r="B18" s="0" t="s">
        <v>58</v>
      </c>
      <c r="C18" s="9" t="n">
        <v>0.3</v>
      </c>
      <c r="D18" s="14" t="s">
        <v>59</v>
      </c>
    </row>
    <row r="19" customFormat="false" ht="15" hidden="false" customHeight="false" outlineLevel="0" collapsed="false">
      <c r="B19" s="0" t="s">
        <v>60</v>
      </c>
      <c r="C19" s="9" t="n">
        <v>0.15</v>
      </c>
      <c r="D19" s="14" t="s">
        <v>61</v>
      </c>
    </row>
    <row r="20" customFormat="false" ht="15" hidden="false" customHeight="false" outlineLevel="0" collapsed="false">
      <c r="B20" s="0" t="s">
        <v>62</v>
      </c>
      <c r="C20" s="9" t="n">
        <v>0.1</v>
      </c>
      <c r="D20" s="14" t="s">
        <v>63</v>
      </c>
    </row>
    <row r="21" customFormat="false" ht="15" hidden="false" customHeight="false" outlineLevel="0" collapsed="false">
      <c r="B21" s="0" t="s">
        <v>64</v>
      </c>
      <c r="C21" s="9" t="n">
        <v>0.05</v>
      </c>
      <c r="D21" s="14" t="s">
        <v>65</v>
      </c>
    </row>
    <row r="22" customFormat="false" ht="15" hidden="false" customHeight="false" outlineLevel="0" collapsed="false">
      <c r="B22" s="0" t="s">
        <v>66</v>
      </c>
      <c r="C22" s="9" t="n">
        <v>0.2</v>
      </c>
      <c r="D22" s="14" t="s">
        <v>67</v>
      </c>
    </row>
    <row r="23" customFormat="false" ht="15" hidden="false" customHeight="false" outlineLevel="0" collapsed="false">
      <c r="B23" s="0" t="s">
        <v>68</v>
      </c>
      <c r="C23" s="9" t="n">
        <v>0.1</v>
      </c>
      <c r="D23" s="14" t="s">
        <v>69</v>
      </c>
    </row>
    <row r="24" customFormat="false" ht="15" hidden="false" customHeight="false" outlineLevel="0" collapsed="false">
      <c r="B24" s="0" t="s">
        <v>70</v>
      </c>
      <c r="C24" s="9" t="n">
        <v>0.05</v>
      </c>
      <c r="D24" s="14" t="s">
        <v>71</v>
      </c>
    </row>
    <row r="25" customFormat="false" ht="15" hidden="false" customHeight="false" outlineLevel="0" collapsed="false">
      <c r="B25" s="0" t="s">
        <v>72</v>
      </c>
      <c r="C25" s="9" t="n">
        <v>0.1</v>
      </c>
      <c r="D25" s="14" t="s">
        <v>73</v>
      </c>
    </row>
    <row r="26" customFormat="false" ht="15" hidden="false" customHeight="false" outlineLevel="0" collapsed="false">
      <c r="B26" s="11" t="s">
        <v>74</v>
      </c>
      <c r="C26" s="15" t="n">
        <f aca="false">SUM(C17:C25)</f>
        <v>2.85</v>
      </c>
      <c r="D26" s="5" t="s">
        <v>75</v>
      </c>
    </row>
    <row r="29" customFormat="false" ht="15" hidden="false" customHeight="false" outlineLevel="0" collapsed="false">
      <c r="B29" s="2" t="s">
        <v>76</v>
      </c>
    </row>
    <row r="31" customFormat="false" ht="15" hidden="false" customHeight="false" outlineLevel="0" collapsed="false">
      <c r="B31" s="0" t="s">
        <v>77</v>
      </c>
      <c r="C31" s="16" t="n">
        <f aca="false">C11-C26</f>
        <v>2.243</v>
      </c>
      <c r="D31" s="5" t="s">
        <v>51</v>
      </c>
    </row>
    <row r="32" customFormat="false" ht="15" hidden="false" customHeight="false" outlineLevel="0" collapsed="false">
      <c r="B32" s="0" t="s">
        <v>78</v>
      </c>
      <c r="C32" s="17" t="n">
        <f aca="false">C31/C11</f>
        <v>0.440408403691341</v>
      </c>
    </row>
    <row r="34" customFormat="false" ht="15" hidden="false" customHeight="false" outlineLevel="0" collapsed="false">
      <c r="B34" s="0" t="s">
        <v>79</v>
      </c>
      <c r="C34" s="18" t="n">
        <v>24</v>
      </c>
      <c r="D34" s="5" t="s">
        <v>80</v>
      </c>
    </row>
    <row r="35" customFormat="false" ht="15" hidden="false" customHeight="false" outlineLevel="0" collapsed="false">
      <c r="B35" s="0" t="s">
        <v>25</v>
      </c>
      <c r="C35" s="19" t="n">
        <f aca="false">C11*C34*C32</f>
        <v>53.832</v>
      </c>
      <c r="D35" s="5" t="s">
        <v>81</v>
      </c>
    </row>
    <row r="36" customFormat="false" ht="15" hidden="false" customHeight="false" outlineLevel="0" collapsed="false">
      <c r="B36" s="0" t="s">
        <v>29</v>
      </c>
      <c r="C36" s="18" t="n">
        <v>15</v>
      </c>
      <c r="D36" s="5" t="s">
        <v>81</v>
      </c>
    </row>
    <row r="37" customFormat="false" ht="17.35" hidden="false" customHeight="false" outlineLevel="0" collapsed="false">
      <c r="B37" s="0" t="s">
        <v>32</v>
      </c>
      <c r="C37" s="20" t="n">
        <f aca="false">C35/C36</f>
        <v>3.5888</v>
      </c>
      <c r="D37" s="5" t="s">
        <v>82</v>
      </c>
      <c r="E37" s="1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12"/>
  </cols>
  <sheetData>
    <row r="2" customFormat="false" ht="17.35" hidden="false" customHeight="false" outlineLevel="0" collapsed="false">
      <c r="B2" s="8" t="s">
        <v>84</v>
      </c>
    </row>
    <row r="4" customFormat="false" ht="15" hidden="false" customHeight="false" outlineLevel="0" collapsed="false">
      <c r="C4" s="21" t="s">
        <v>85</v>
      </c>
      <c r="D4" s="21" t="s">
        <v>86</v>
      </c>
      <c r="E4" s="21" t="s">
        <v>87</v>
      </c>
      <c r="F4" s="21" t="s">
        <v>88</v>
      </c>
      <c r="G4" s="21" t="s">
        <v>89</v>
      </c>
    </row>
    <row r="5" customFormat="false" ht="15" hidden="false" customHeight="false" outlineLevel="0" collapsed="false">
      <c r="B5" s="2" t="s">
        <v>90</v>
      </c>
    </row>
    <row r="6" customFormat="false" ht="15" hidden="false" customHeight="false" outlineLevel="0" collapsed="false">
      <c r="B6" s="7" t="s">
        <v>91</v>
      </c>
      <c r="C6" s="22" t="n">
        <v>10000</v>
      </c>
      <c r="D6" s="22" t="n">
        <v>15000</v>
      </c>
      <c r="E6" s="22" t="n">
        <v>20000</v>
      </c>
      <c r="F6" s="22" t="n">
        <v>25000</v>
      </c>
      <c r="G6" s="22" t="n">
        <v>30000</v>
      </c>
    </row>
    <row r="7" customFormat="false" ht="15" hidden="false" customHeight="false" outlineLevel="0" collapsed="false">
      <c r="B7" s="7" t="s">
        <v>92</v>
      </c>
      <c r="C7" s="22" t="n">
        <v>10000</v>
      </c>
      <c r="D7" s="22" t="n">
        <v>25000</v>
      </c>
      <c r="E7" s="22" t="n">
        <v>45000</v>
      </c>
      <c r="F7" s="22" t="n">
        <v>70000</v>
      </c>
      <c r="G7" s="22" t="n">
        <v>100000</v>
      </c>
    </row>
    <row r="8" customFormat="false" ht="15" hidden="false" customHeight="false" outlineLevel="0" collapsed="false">
      <c r="B8" s="7" t="s">
        <v>93</v>
      </c>
      <c r="C8" s="23" t="s">
        <v>94</v>
      </c>
      <c r="D8" s="23" t="s">
        <v>95</v>
      </c>
      <c r="E8" s="23" t="s">
        <v>96</v>
      </c>
      <c r="F8" s="23" t="s">
        <v>97</v>
      </c>
      <c r="G8" s="23" t="s">
        <v>98</v>
      </c>
    </row>
    <row r="9" customFormat="false" ht="15" hidden="false" customHeight="false" outlineLevel="0" collapsed="false">
      <c r="B9" s="7" t="s">
        <v>99</v>
      </c>
      <c r="C9" s="22" t="n">
        <v>10000</v>
      </c>
      <c r="D9" s="22" t="n">
        <v>23500</v>
      </c>
      <c r="E9" s="22" t="n">
        <v>43700</v>
      </c>
      <c r="F9" s="22" t="n">
        <v>69160</v>
      </c>
      <c r="G9" s="22" t="n">
        <v>98170</v>
      </c>
    </row>
    <row r="10" customFormat="false" ht="15" hidden="false" customHeight="false" outlineLevel="0" collapsed="false">
      <c r="B10" s="7" t="s">
        <v>100</v>
      </c>
      <c r="C10" s="22" t="n">
        <v>7000</v>
      </c>
      <c r="D10" s="22" t="n">
        <v>16450</v>
      </c>
      <c r="E10" s="22" t="n">
        <v>30590</v>
      </c>
      <c r="F10" s="22" t="n">
        <v>48412</v>
      </c>
      <c r="G10" s="22" t="n">
        <v>68719</v>
      </c>
    </row>
    <row r="12" customFormat="false" ht="15" hidden="false" customHeight="false" outlineLevel="0" collapsed="false">
      <c r="B12" s="2" t="s">
        <v>101</v>
      </c>
    </row>
    <row r="13" customFormat="false" ht="15" hidden="false" customHeight="false" outlineLevel="0" collapsed="false">
      <c r="B13" s="0" t="s">
        <v>102</v>
      </c>
      <c r="C13" s="16" t="n">
        <v>4.5</v>
      </c>
      <c r="D13" s="16" t="n">
        <v>4.5</v>
      </c>
      <c r="E13" s="16" t="n">
        <v>4.5</v>
      </c>
      <c r="F13" s="16" t="n">
        <v>4.5</v>
      </c>
      <c r="G13" s="16" t="n">
        <v>4.5</v>
      </c>
    </row>
    <row r="14" customFormat="false" ht="15" hidden="false" customHeight="false" outlineLevel="0" collapsed="false">
      <c r="B14" s="0" t="s">
        <v>103</v>
      </c>
      <c r="C14" s="24" t="n">
        <v>31500</v>
      </c>
      <c r="D14" s="24" t="n">
        <v>74025</v>
      </c>
      <c r="E14" s="24" t="n">
        <v>137655</v>
      </c>
      <c r="F14" s="24" t="n">
        <v>217854</v>
      </c>
      <c r="G14" s="24" t="n">
        <v>309236</v>
      </c>
    </row>
    <row r="15" customFormat="false" ht="15" hidden="false" customHeight="false" outlineLevel="0" collapsed="false">
      <c r="B15" s="11" t="s">
        <v>104</v>
      </c>
      <c r="C15" s="25" t="n">
        <v>378000</v>
      </c>
      <c r="D15" s="25" t="n">
        <v>888300</v>
      </c>
      <c r="E15" s="25" t="n">
        <v>1651860</v>
      </c>
      <c r="F15" s="25" t="n">
        <v>2614248</v>
      </c>
      <c r="G15" s="25" t="n">
        <v>3710827</v>
      </c>
    </row>
    <row r="17" customFormat="false" ht="15" hidden="false" customHeight="false" outlineLevel="0" collapsed="false">
      <c r="B17" s="2" t="s">
        <v>105</v>
      </c>
    </row>
    <row r="18" customFormat="false" ht="15" hidden="false" customHeight="false" outlineLevel="0" collapsed="false">
      <c r="B18" s="0" t="s">
        <v>106</v>
      </c>
      <c r="C18" s="16" t="n">
        <v>2.85</v>
      </c>
      <c r="D18" s="16" t="n">
        <v>2.85</v>
      </c>
      <c r="E18" s="16" t="n">
        <v>2.85</v>
      </c>
      <c r="F18" s="16" t="n">
        <v>2.85</v>
      </c>
      <c r="G18" s="16" t="n">
        <v>2.85</v>
      </c>
    </row>
    <row r="19" customFormat="false" ht="15" hidden="false" customHeight="false" outlineLevel="0" collapsed="false">
      <c r="B19" s="0" t="s">
        <v>107</v>
      </c>
      <c r="C19" s="24" t="n">
        <v>239400</v>
      </c>
      <c r="D19" s="24" t="n">
        <v>562299</v>
      </c>
      <c r="E19" s="24" t="n">
        <v>1045377</v>
      </c>
      <c r="F19" s="24" t="n">
        <v>1655658</v>
      </c>
      <c r="G19" s="24" t="n">
        <v>2351298</v>
      </c>
    </row>
    <row r="20" customFormat="false" ht="15" hidden="false" customHeight="false" outlineLevel="0" collapsed="false">
      <c r="B20" s="0" t="s">
        <v>21</v>
      </c>
      <c r="C20" s="24" t="n">
        <v>138600</v>
      </c>
      <c r="D20" s="24" t="n">
        <v>326001</v>
      </c>
      <c r="E20" s="24" t="n">
        <v>606483</v>
      </c>
      <c r="F20" s="24" t="n">
        <v>958590</v>
      </c>
      <c r="G20" s="24" t="n">
        <v>1359529</v>
      </c>
    </row>
    <row r="21" customFormat="false" ht="15" hidden="false" customHeight="false" outlineLevel="0" collapsed="false">
      <c r="B21" s="0" t="s">
        <v>78</v>
      </c>
      <c r="C21" s="26" t="n">
        <v>0.367</v>
      </c>
      <c r="D21" s="26" t="n">
        <v>0.367</v>
      </c>
      <c r="E21" s="26" t="n">
        <v>0.367</v>
      </c>
      <c r="F21" s="26" t="n">
        <v>0.367</v>
      </c>
      <c r="G21" s="26" t="n">
        <v>0.367</v>
      </c>
    </row>
    <row r="23" customFormat="false" ht="15" hidden="false" customHeight="false" outlineLevel="0" collapsed="false">
      <c r="B23" s="2" t="s">
        <v>108</v>
      </c>
    </row>
    <row r="24" customFormat="false" ht="15" hidden="false" customHeight="false" outlineLevel="0" collapsed="false">
      <c r="B24" s="7" t="s">
        <v>109</v>
      </c>
      <c r="C24" s="22" t="n">
        <v>70000</v>
      </c>
      <c r="D24" s="22" t="n">
        <v>195000</v>
      </c>
      <c r="E24" s="22" t="n">
        <v>280000</v>
      </c>
      <c r="F24" s="22" t="n">
        <v>375000</v>
      </c>
      <c r="G24" s="22" t="n">
        <v>485000</v>
      </c>
    </row>
    <row r="25" customFormat="false" ht="15" hidden="false" customHeight="false" outlineLevel="0" collapsed="false">
      <c r="B25" s="7" t="s">
        <v>110</v>
      </c>
      <c r="C25" s="22" t="n">
        <v>60000</v>
      </c>
      <c r="D25" s="22" t="n">
        <v>100000</v>
      </c>
      <c r="E25" s="22" t="n">
        <v>150000</v>
      </c>
      <c r="F25" s="22" t="n">
        <v>200000</v>
      </c>
      <c r="G25" s="22" t="n">
        <v>250000</v>
      </c>
    </row>
    <row r="26" customFormat="false" ht="15" hidden="false" customHeight="false" outlineLevel="0" collapsed="false">
      <c r="B26" s="7" t="s">
        <v>111</v>
      </c>
      <c r="C26" s="22" t="n">
        <v>15000</v>
      </c>
      <c r="D26" s="22" t="n">
        <v>25000</v>
      </c>
      <c r="E26" s="22" t="n">
        <v>40000</v>
      </c>
      <c r="F26" s="22" t="n">
        <v>55000</v>
      </c>
      <c r="G26" s="22" t="n">
        <v>70000</v>
      </c>
    </row>
    <row r="27" customFormat="false" ht="15" hidden="false" customHeight="false" outlineLevel="0" collapsed="false">
      <c r="B27" s="7" t="s">
        <v>112</v>
      </c>
      <c r="C27" s="22" t="n">
        <v>20000</v>
      </c>
      <c r="D27" s="22" t="n">
        <v>30000</v>
      </c>
      <c r="E27" s="22" t="n">
        <v>40000</v>
      </c>
      <c r="F27" s="22" t="n">
        <v>50000</v>
      </c>
      <c r="G27" s="22" t="n">
        <v>60000</v>
      </c>
    </row>
    <row r="28" customFormat="false" ht="15" hidden="false" customHeight="false" outlineLevel="0" collapsed="false">
      <c r="B28" s="0" t="s">
        <v>113</v>
      </c>
      <c r="C28" s="27" t="n">
        <v>165000</v>
      </c>
      <c r="D28" s="27" t="n">
        <v>350000</v>
      </c>
      <c r="E28" s="27" t="n">
        <v>510000</v>
      </c>
      <c r="F28" s="27" t="n">
        <v>680000</v>
      </c>
      <c r="G28" s="27" t="n">
        <v>865000</v>
      </c>
    </row>
    <row r="30" customFormat="false" ht="15" hidden="false" customHeight="false" outlineLevel="0" collapsed="false">
      <c r="B30" s="2" t="s">
        <v>114</v>
      </c>
    </row>
    <row r="31" customFormat="false" ht="15" hidden="false" customHeight="false" outlineLevel="0" collapsed="false">
      <c r="B31" s="11" t="s">
        <v>115</v>
      </c>
      <c r="C31" s="28" t="n">
        <v>-26400</v>
      </c>
      <c r="D31" s="28" t="n">
        <v>-23999</v>
      </c>
      <c r="E31" s="25" t="n">
        <v>96483</v>
      </c>
      <c r="F31" s="25" t="n">
        <v>278590</v>
      </c>
      <c r="G31" s="25" t="n">
        <v>494529</v>
      </c>
    </row>
    <row r="32" customFormat="false" ht="15" hidden="false" customHeight="false" outlineLevel="0" collapsed="false">
      <c r="B32" s="0" t="s">
        <v>116</v>
      </c>
      <c r="C32" s="26" t="n">
        <v>-0.07</v>
      </c>
      <c r="D32" s="26" t="n">
        <v>-0.03</v>
      </c>
      <c r="E32" s="26" t="n">
        <v>0.06</v>
      </c>
      <c r="F32" s="26" t="n">
        <v>0.11</v>
      </c>
      <c r="G32" s="26" t="n">
        <v>0.13</v>
      </c>
    </row>
    <row r="34" customFormat="false" ht="15" hidden="false" customHeight="false" outlineLevel="0" collapsed="false">
      <c r="B34" s="2" t="s">
        <v>117</v>
      </c>
    </row>
    <row r="35" customFormat="false" ht="15" hidden="false" customHeight="false" outlineLevel="0" collapsed="false">
      <c r="B35" s="0" t="s">
        <v>118</v>
      </c>
      <c r="C35" s="24" t="n">
        <v>500000</v>
      </c>
      <c r="D35" s="24" t="n">
        <v>473600</v>
      </c>
      <c r="E35" s="24" t="n">
        <v>449601</v>
      </c>
      <c r="F35" s="24" t="n">
        <v>546084</v>
      </c>
      <c r="G35" s="24" t="n">
        <v>824674</v>
      </c>
    </row>
    <row r="36" customFormat="false" ht="15" hidden="false" customHeight="false" outlineLevel="0" collapsed="false">
      <c r="B36" s="0" t="s">
        <v>119</v>
      </c>
      <c r="C36" s="27" t="n">
        <v>473600</v>
      </c>
      <c r="D36" s="27" t="n">
        <v>449601</v>
      </c>
      <c r="E36" s="27" t="n">
        <v>546084</v>
      </c>
      <c r="F36" s="27" t="n">
        <v>824674</v>
      </c>
      <c r="G36" s="27" t="n">
        <v>1319203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8" t="s">
        <v>120</v>
      </c>
    </row>
    <row r="4" customFormat="false" ht="15" hidden="false" customHeight="false" outlineLevel="0" collapsed="false">
      <c r="B4" s="3" t="s">
        <v>121</v>
      </c>
      <c r="C4" s="3" t="s">
        <v>122</v>
      </c>
      <c r="D4" s="3" t="s">
        <v>123</v>
      </c>
      <c r="E4" s="3" t="s">
        <v>55</v>
      </c>
    </row>
    <row r="5" customFormat="false" ht="15" hidden="false" customHeight="false" outlineLevel="0" collapsed="false">
      <c r="B5" s="0" t="s">
        <v>124</v>
      </c>
      <c r="C5" s="29" t="n">
        <v>250000</v>
      </c>
      <c r="D5" s="30" t="n">
        <v>0.5</v>
      </c>
      <c r="E5" s="5" t="s">
        <v>125</v>
      </c>
    </row>
    <row r="6" customFormat="false" ht="15" hidden="false" customHeight="false" outlineLevel="0" collapsed="false">
      <c r="B6" s="0" t="s">
        <v>110</v>
      </c>
      <c r="C6" s="29" t="n">
        <v>150000</v>
      </c>
      <c r="D6" s="30" t="n">
        <v>0.3</v>
      </c>
      <c r="E6" s="5" t="s">
        <v>126</v>
      </c>
    </row>
    <row r="7" customFormat="false" ht="15" hidden="false" customHeight="false" outlineLevel="0" collapsed="false">
      <c r="B7" s="0" t="s">
        <v>127</v>
      </c>
      <c r="C7" s="29" t="n">
        <v>50000</v>
      </c>
      <c r="D7" s="30" t="n">
        <v>0.1</v>
      </c>
      <c r="E7" s="5" t="s">
        <v>128</v>
      </c>
    </row>
    <row r="8" customFormat="false" ht="15" hidden="false" customHeight="false" outlineLevel="0" collapsed="false">
      <c r="B8" s="0" t="s">
        <v>129</v>
      </c>
      <c r="C8" s="29" t="n">
        <v>50000</v>
      </c>
      <c r="D8" s="30" t="n">
        <v>0.1</v>
      </c>
      <c r="E8" s="5" t="s">
        <v>130</v>
      </c>
    </row>
    <row r="9" customFormat="false" ht="15" hidden="false" customHeight="false" outlineLevel="0" collapsed="false">
      <c r="B9" s="11" t="s">
        <v>131</v>
      </c>
      <c r="C9" s="31" t="n">
        <v>500000</v>
      </c>
      <c r="D9" s="30" t="n">
        <v>1</v>
      </c>
      <c r="E9" s="5" t="s">
        <v>132</v>
      </c>
    </row>
    <row r="12" customFormat="false" ht="15" hidden="false" customHeight="false" outlineLevel="0" collapsed="false">
      <c r="B12" s="2" t="s">
        <v>133</v>
      </c>
    </row>
    <row r="14" customFormat="false" ht="15" hidden="false" customHeight="false" outlineLevel="0" collapsed="false">
      <c r="B14" s="3" t="s">
        <v>134</v>
      </c>
      <c r="C14" s="3" t="s">
        <v>135</v>
      </c>
      <c r="D14" s="3" t="s">
        <v>136</v>
      </c>
    </row>
    <row r="15" customFormat="false" ht="15" hidden="false" customHeight="false" outlineLevel="0" collapsed="false">
      <c r="B15" s="0" t="s">
        <v>137</v>
      </c>
      <c r="C15" s="0" t="s">
        <v>138</v>
      </c>
      <c r="D15" s="0" t="s">
        <v>139</v>
      </c>
    </row>
    <row r="16" customFormat="false" ht="15" hidden="false" customHeight="false" outlineLevel="0" collapsed="false">
      <c r="B16" s="0" t="s">
        <v>140</v>
      </c>
      <c r="C16" s="0" t="s">
        <v>141</v>
      </c>
      <c r="D16" s="0" t="s">
        <v>142</v>
      </c>
    </row>
    <row r="17" customFormat="false" ht="15" hidden="false" customHeight="false" outlineLevel="0" collapsed="false">
      <c r="B17" s="0" t="s">
        <v>143</v>
      </c>
      <c r="C17" s="0" t="s">
        <v>144</v>
      </c>
      <c r="D17" s="0" t="s">
        <v>145</v>
      </c>
    </row>
    <row r="18" customFormat="false" ht="15" hidden="false" customHeight="false" outlineLevel="0" collapsed="false">
      <c r="B18" s="0" t="s">
        <v>146</v>
      </c>
      <c r="C18" s="0" t="s">
        <v>147</v>
      </c>
      <c r="D18" s="0" t="s">
        <v>148</v>
      </c>
    </row>
    <row r="19" customFormat="false" ht="15" hidden="false" customHeight="false" outlineLevel="0" collapsed="false">
      <c r="B19" s="0" t="s">
        <v>149</v>
      </c>
      <c r="C19" s="0" t="s">
        <v>150</v>
      </c>
      <c r="D19" s="0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5"/>
  </cols>
  <sheetData>
    <row r="2" customFormat="false" ht="17.35" hidden="false" customHeight="false" outlineLevel="0" collapsed="false">
      <c r="B2" s="8" t="s">
        <v>152</v>
      </c>
    </row>
    <row r="4" customFormat="false" ht="15" hidden="false" customHeight="false" outlineLevel="0" collapsed="false">
      <c r="B4" s="2" t="s">
        <v>153</v>
      </c>
    </row>
    <row r="6" customFormat="false" ht="15" hidden="false" customHeight="false" outlineLevel="0" collapsed="false">
      <c r="B6" s="0" t="s">
        <v>154</v>
      </c>
      <c r="C6" s="29" t="n">
        <v>500000</v>
      </c>
    </row>
    <row r="7" customFormat="false" ht="15" hidden="false" customHeight="false" outlineLevel="0" collapsed="false">
      <c r="B7" s="0" t="s">
        <v>155</v>
      </c>
      <c r="C7" s="29" t="n">
        <v>2000000</v>
      </c>
    </row>
    <row r="8" customFormat="false" ht="15" hidden="false" customHeight="false" outlineLevel="0" collapsed="false">
      <c r="B8" s="0" t="s">
        <v>156</v>
      </c>
      <c r="C8" s="29" t="n">
        <v>2500000</v>
      </c>
    </row>
    <row r="9" customFormat="false" ht="15" hidden="false" customHeight="false" outlineLevel="0" collapsed="false">
      <c r="B9" s="0" t="s">
        <v>157</v>
      </c>
      <c r="C9" s="0" t="s">
        <v>158</v>
      </c>
    </row>
    <row r="12" customFormat="false" ht="15" hidden="false" customHeight="false" outlineLevel="0" collapsed="false">
      <c r="B12" s="2" t="s">
        <v>159</v>
      </c>
    </row>
    <row r="14" customFormat="false" ht="15" hidden="false" customHeight="false" outlineLevel="0" collapsed="false">
      <c r="B14" s="3" t="s">
        <v>160</v>
      </c>
      <c r="C14" s="3" t="s">
        <v>161</v>
      </c>
    </row>
    <row r="15" customFormat="false" ht="15" hidden="false" customHeight="false" outlineLevel="0" collapsed="false">
      <c r="B15" s="0" t="s">
        <v>162</v>
      </c>
      <c r="C15" s="0" t="s">
        <v>163</v>
      </c>
    </row>
    <row r="16" customFormat="false" ht="15" hidden="false" customHeight="false" outlineLevel="0" collapsed="false">
      <c r="B16" s="0" t="s">
        <v>164</v>
      </c>
      <c r="C16" s="0" t="s">
        <v>165</v>
      </c>
    </row>
    <row r="17" customFormat="false" ht="15" hidden="false" customHeight="false" outlineLevel="0" collapsed="false">
      <c r="B17" s="0" t="s">
        <v>166</v>
      </c>
      <c r="C17" s="0" t="s">
        <v>167</v>
      </c>
    </row>
    <row r="18" customFormat="false" ht="15" hidden="false" customHeight="false" outlineLevel="0" collapsed="false">
      <c r="B18" s="0" t="s">
        <v>168</v>
      </c>
      <c r="C18" s="0" t="s">
        <v>169</v>
      </c>
    </row>
    <row r="19" customFormat="false" ht="15" hidden="false" customHeight="false" outlineLevel="0" collapsed="false">
      <c r="B19" s="0" t="s">
        <v>170</v>
      </c>
      <c r="C19" s="0" t="s">
        <v>171</v>
      </c>
    </row>
    <row r="22" customFormat="false" ht="15" hidden="false" customHeight="false" outlineLevel="0" collapsed="false">
      <c r="B22" s="2" t="s">
        <v>172</v>
      </c>
    </row>
    <row r="24" customFormat="false" ht="15" hidden="false" customHeight="false" outlineLevel="0" collapsed="false">
      <c r="B24" s="0" t="s">
        <v>173</v>
      </c>
      <c r="C24" s="29" t="n">
        <v>3710827</v>
      </c>
    </row>
    <row r="25" customFormat="false" ht="15" hidden="false" customHeight="false" outlineLevel="0" collapsed="false">
      <c r="B25" s="0" t="s">
        <v>174</v>
      </c>
      <c r="C25" s="0" t="s">
        <v>175</v>
      </c>
    </row>
    <row r="26" customFormat="false" ht="15" hidden="false" customHeight="false" outlineLevel="0" collapsed="false">
      <c r="B26" s="0" t="s">
        <v>176</v>
      </c>
      <c r="C26" s="13" t="s">
        <v>177</v>
      </c>
    </row>
    <row r="28" customFormat="false" ht="15" hidden="false" customHeight="false" outlineLevel="0" collapsed="false">
      <c r="B28" s="2" t="s">
        <v>178</v>
      </c>
    </row>
    <row r="30" customFormat="false" ht="15" hidden="false" customHeight="false" outlineLevel="0" collapsed="false">
      <c r="B30" s="0" t="s">
        <v>179</v>
      </c>
      <c r="C30" s="29" t="n">
        <v>500000</v>
      </c>
    </row>
    <row r="31" customFormat="false" ht="15" hidden="false" customHeight="false" outlineLevel="0" collapsed="false">
      <c r="B31" s="0" t="s">
        <v>180</v>
      </c>
      <c r="C31" s="0" t="s">
        <v>181</v>
      </c>
    </row>
    <row r="32" customFormat="false" ht="17.35" hidden="false" customHeight="false" outlineLevel="0" collapsed="false">
      <c r="B32" s="0" t="s">
        <v>182</v>
      </c>
      <c r="C32" s="3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2025-12-13T12:09:50Z</dcterms:created>
  <dc:creator>openpyxl</dc:creator>
  <dc:description/>
  <dc:language>en-US</dc:language>
  <cp:lastModifiedBy/>
  <dcterms:modified xsi:type="dcterms:W3CDTF">2025-12-13T12:09:50Z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